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c8e0f7995507a/ドキュメント/"/>
    </mc:Choice>
  </mc:AlternateContent>
  <xr:revisionPtr revIDLastSave="5" documentId="8_{B420CCA9-0DE2-4FDA-8973-8E8B9EDB0A5D}" xr6:coauthVersionLast="47" xr6:coauthVersionMax="47" xr10:uidLastSave="{61A05D1A-CB38-41CE-AD31-CF396CB78D4D}"/>
  <bookViews>
    <workbookView xWindow="-108" yWindow="-108" windowWidth="23256" windowHeight="12456" activeTab="1" xr2:uid="{3A9260C1-242C-4070-87C0-9E0F4670E321}"/>
  </bookViews>
  <sheets>
    <sheet name="books_data" sheetId="2" r:id="rId1"/>
    <sheet name="EDA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4" i="3"/>
  <c r="E14" i="3"/>
  <c r="E15" i="3"/>
  <c r="B16" i="3"/>
  <c r="E16" i="3"/>
  <c r="E17" i="3"/>
  <c r="B18" i="3"/>
  <c r="E18" i="3"/>
  <c r="B20" i="3"/>
  <c r="B22" i="3"/>
</calcChain>
</file>

<file path=xl/sharedStrings.xml><?xml version="1.0" encoding="utf-8"?>
<sst xmlns="http://schemas.openxmlformats.org/spreadsheetml/2006/main" count="76" uniqueCount="54">
  <si>
    <t>Title</t>
  </si>
  <si>
    <t>Price (£)</t>
  </si>
  <si>
    <t>Rating</t>
  </si>
  <si>
    <t>Availability</t>
  </si>
  <si>
    <t>Our Band Could Be Your Life: Scenes from the American Indie Underground, 1981-1991</t>
  </si>
  <si>
    <t>In stock</t>
  </si>
  <si>
    <t>Sapiens: A Brief History of Humankind</t>
  </si>
  <si>
    <t>Tipping the Velvet</t>
  </si>
  <si>
    <t>Scott Pilgrim's Precious Little Life (Scott Pilgrim #1)</t>
  </si>
  <si>
    <t>The Black Maria</t>
  </si>
  <si>
    <t>A Light in the Attic</t>
  </si>
  <si>
    <t>Libertarianism for Beginners</t>
  </si>
  <si>
    <t>Soumission</t>
  </si>
  <si>
    <t>Sharp Objects</t>
  </si>
  <si>
    <t>It's Only the Himalayas</t>
  </si>
  <si>
    <t>Mesaerion: The Best Science Fiction Stories 1800-1849</t>
  </si>
  <si>
    <t>Rip it Up and Start Again</t>
  </si>
  <si>
    <t>The Dirty Little Secrets of Getting Your Dream Job</t>
  </si>
  <si>
    <t>Olio</t>
  </si>
  <si>
    <t>The Requiem Red</t>
  </si>
  <si>
    <t>The Boys in the Boat: Nine Americans and Their Epic Quest for Gold at the 1936 Berlin Olympics</t>
  </si>
  <si>
    <t>Shakespeare's Sonnets</t>
  </si>
  <si>
    <t>The Coming Woman: A Novel Based on the Life of the Infamous Feminist, Victoria Woodhull</t>
  </si>
  <si>
    <t>Set Me Free</t>
  </si>
  <si>
    <t>Starving Hearts (Triangular Trade Trilogy, #1)</t>
  </si>
  <si>
    <t>The dataset contains 20 books. All books are available in stock. Prices range from £13.99 to £57.25 with an average price of £38.05. Most books have a rating of 1 star, and no missing values were found.</t>
  </si>
  <si>
    <t>Overall Analysis</t>
  </si>
  <si>
    <t>Higher-rated books do not necessarily have higher prices.</t>
  </si>
  <si>
    <t>Hypothesis</t>
  </si>
  <si>
    <t>No missing values were found in the dataset.</t>
  </si>
  <si>
    <t>Observation</t>
  </si>
  <si>
    <t>Missing Values</t>
  </si>
  <si>
    <t>All 20 books are available in stock.</t>
  </si>
  <si>
    <t>Conclusion</t>
  </si>
  <si>
    <t>Books Available in Stock</t>
  </si>
  <si>
    <t>1 Stars</t>
  </si>
  <si>
    <t>Most Frequent Rating</t>
  </si>
  <si>
    <t>Average Rating</t>
  </si>
  <si>
    <t>Least Expensive Book</t>
  </si>
  <si>
    <t>Minimum Price</t>
  </si>
  <si>
    <t>Most Expensive Book</t>
  </si>
  <si>
    <t>Maximum Price</t>
  </si>
  <si>
    <t>Count</t>
  </si>
  <si>
    <t>Average Price</t>
  </si>
  <si>
    <t>Answers:</t>
  </si>
  <si>
    <t>7. Are there any missing values in the dataset?</t>
  </si>
  <si>
    <t>6. Are all books available in stock?</t>
  </si>
  <si>
    <t>5. Which rating appears most frequently?</t>
  </si>
  <si>
    <t>4. What is the average rating of books?</t>
  </si>
  <si>
    <t>3. Which book is the least expensive?</t>
  </si>
  <si>
    <t>2. Which book is the most expensive?</t>
  </si>
  <si>
    <t>1. What is the average price of books?</t>
  </si>
  <si>
    <t>Questions:</t>
  </si>
  <si>
    <t>Exploratory Data Analysis (EDA)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</si>
</sst>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84c8e0f7995507a/&#12489;&#12461;&#12517;&#12513;&#12531;&#12488;/books_data.xlsx" TargetMode="External"/><Relationship Id="rId1" Type="http://schemas.openxmlformats.org/officeDocument/2006/relationships/externalLinkPath" Target="book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s_data"/>
      <sheetName val="Data Visualization"/>
    </sheetNames>
    <sheetDataSet>
      <sheetData sheetId="0">
        <row r="2">
          <cell r="A2" t="str">
            <v>Our Band Could Be Your Life: Scenes from the American Indie Underground, 1981-1991</v>
          </cell>
          <cell r="B2">
            <v>57.25</v>
          </cell>
          <cell r="C2">
            <v>3</v>
          </cell>
          <cell r="D2" t="str">
            <v>In stock</v>
          </cell>
        </row>
        <row r="3">
          <cell r="A3" t="str">
            <v>Sapiens: A Brief History of Humankind</v>
          </cell>
          <cell r="B3">
            <v>54.23</v>
          </cell>
          <cell r="C3">
            <v>5</v>
          </cell>
          <cell r="D3" t="str">
            <v>In stock</v>
          </cell>
        </row>
        <row r="4">
          <cell r="A4" t="str">
            <v>Tipping the Velvet</v>
          </cell>
          <cell r="B4">
            <v>53.74</v>
          </cell>
          <cell r="C4">
            <v>1</v>
          </cell>
          <cell r="D4" t="str">
            <v>In stock</v>
          </cell>
        </row>
        <row r="5">
          <cell r="A5" t="str">
            <v>Scott Pilgrim's Precious Little Life (Scott Pilgrim #1)</v>
          </cell>
          <cell r="B5">
            <v>52.29</v>
          </cell>
          <cell r="C5">
            <v>5</v>
          </cell>
          <cell r="D5" t="str">
            <v>In stock</v>
          </cell>
        </row>
        <row r="6">
          <cell r="A6" t="str">
            <v>The Black Maria</v>
          </cell>
          <cell r="B6">
            <v>52.15</v>
          </cell>
          <cell r="C6">
            <v>1</v>
          </cell>
          <cell r="D6" t="str">
            <v>In stock</v>
          </cell>
        </row>
        <row r="7">
          <cell r="A7" t="str">
            <v>A Light in the Attic</v>
          </cell>
          <cell r="B7">
            <v>51.77</v>
          </cell>
          <cell r="C7">
            <v>3</v>
          </cell>
          <cell r="D7" t="str">
            <v>In stock</v>
          </cell>
        </row>
        <row r="8">
          <cell r="A8" t="str">
            <v>Libertarianism for Beginners</v>
          </cell>
          <cell r="B8">
            <v>51.33</v>
          </cell>
          <cell r="C8">
            <v>2</v>
          </cell>
          <cell r="D8" t="str">
            <v>In stock</v>
          </cell>
        </row>
        <row r="9">
          <cell r="A9" t="str">
            <v>Soumission</v>
          </cell>
          <cell r="B9">
            <v>50.1</v>
          </cell>
          <cell r="C9">
            <v>1</v>
          </cell>
          <cell r="D9" t="str">
            <v>In stock</v>
          </cell>
        </row>
        <row r="10">
          <cell r="A10" t="str">
            <v>Sharp Objects</v>
          </cell>
          <cell r="B10">
            <v>47.82</v>
          </cell>
          <cell r="C10">
            <v>4</v>
          </cell>
          <cell r="D10" t="str">
            <v>In stock</v>
          </cell>
        </row>
        <row r="11">
          <cell r="A11" t="str">
            <v>It's Only the Himalayas</v>
          </cell>
          <cell r="B11">
            <v>45.17</v>
          </cell>
          <cell r="C11">
            <v>2</v>
          </cell>
          <cell r="D11" t="str">
            <v>In stock</v>
          </cell>
        </row>
        <row r="12">
          <cell r="A12" t="str">
            <v>Mesaerion: The Best Science Fiction Stories 1800-1849</v>
          </cell>
          <cell r="B12">
            <v>37.590000000000003</v>
          </cell>
          <cell r="C12">
            <v>1</v>
          </cell>
          <cell r="D12" t="str">
            <v>In stock</v>
          </cell>
        </row>
        <row r="13">
          <cell r="A13" t="str">
            <v>Rip it Up and Start Again</v>
          </cell>
          <cell r="B13">
            <v>35.020000000000003</v>
          </cell>
          <cell r="C13">
            <v>5</v>
          </cell>
          <cell r="D13" t="str">
            <v>In stock</v>
          </cell>
        </row>
        <row r="14">
          <cell r="A14" t="str">
            <v>The Dirty Little Secrets of Getting Your Dream Job</v>
          </cell>
          <cell r="B14">
            <v>33.340000000000003</v>
          </cell>
          <cell r="C14">
            <v>4</v>
          </cell>
          <cell r="D14" t="str">
            <v>In stock</v>
          </cell>
        </row>
        <row r="15">
          <cell r="A15" t="str">
            <v>Olio</v>
          </cell>
          <cell r="B15">
            <v>23.88</v>
          </cell>
          <cell r="C15">
            <v>1</v>
          </cell>
          <cell r="D15" t="str">
            <v>In stock</v>
          </cell>
        </row>
        <row r="16">
          <cell r="A16" t="str">
            <v>The Requiem Red</v>
          </cell>
          <cell r="B16">
            <v>22.65</v>
          </cell>
          <cell r="C16">
            <v>1</v>
          </cell>
          <cell r="D16" t="str">
            <v>In stock</v>
          </cell>
        </row>
        <row r="17">
          <cell r="A17" t="str">
            <v>The Boys in the Boat: Nine Americans and Their Epic Quest for Gold at the 1936 Berlin Olympics</v>
          </cell>
          <cell r="B17">
            <v>22.6</v>
          </cell>
          <cell r="C17">
            <v>4</v>
          </cell>
          <cell r="D17" t="str">
            <v>In stock</v>
          </cell>
        </row>
        <row r="18">
          <cell r="A18" t="str">
            <v>Shakespeare's Sonnets</v>
          </cell>
          <cell r="B18">
            <v>20.66</v>
          </cell>
          <cell r="C18">
            <v>4</v>
          </cell>
          <cell r="D18" t="str">
            <v>In stock</v>
          </cell>
        </row>
        <row r="19">
          <cell r="A19" t="str">
            <v>The Coming Woman: A Novel Based on the Life of the Infamous Feminist, Victoria Woodhull</v>
          </cell>
          <cell r="B19">
            <v>17.93</v>
          </cell>
          <cell r="C19">
            <v>3</v>
          </cell>
          <cell r="D19" t="str">
            <v>In stock</v>
          </cell>
        </row>
        <row r="20">
          <cell r="A20" t="str">
            <v>Set Me Free</v>
          </cell>
          <cell r="B20">
            <v>17.46</v>
          </cell>
          <cell r="C20">
            <v>5</v>
          </cell>
          <cell r="D20" t="str">
            <v>In stock</v>
          </cell>
        </row>
        <row r="21">
          <cell r="A21" t="str">
            <v>Starving Hearts (Triangular Trade Trilogy, #1)</v>
          </cell>
          <cell r="B21">
            <v>13.99</v>
          </cell>
          <cell r="C21">
            <v>2</v>
          </cell>
          <cell r="D21" t="str">
            <v>In stock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7A094-F32A-427D-A998-2AFB4649034C}" name="Table1" displayName="Table1" ref="A1:D21" totalsRowShown="0">
  <autoFilter ref="A1:D21" xr:uid="{A2F68AC7-E846-473D-A849-8CF102B903B9}"/>
  <sortState xmlns:xlrd2="http://schemas.microsoft.com/office/spreadsheetml/2017/richdata2" ref="A2:D21">
    <sortCondition descending="1" ref="B2:B21"/>
  </sortState>
  <tableColumns count="4">
    <tableColumn id="1" xr3:uid="{8A4CE7B0-1F74-4CE3-A9AE-25A634010B19}" name="Title"/>
    <tableColumn id="2" xr3:uid="{B072660A-BB47-46CE-8CF7-566F719E8C2E}" name="Price (£)"/>
    <tableColumn id="3" xr3:uid="{C6AD6BD9-FD3C-4325-BB16-63A89EF4D5B7}" name="Rating"/>
    <tableColumn id="4" xr3:uid="{CBF68B50-93D7-48D9-856E-67B081421EAD}" name="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DB6D-3FAA-4B2E-983A-246D01038BBC}">
  <dimension ref="A1:D21"/>
  <sheetViews>
    <sheetView workbookViewId="0">
      <selection activeCell="D25" sqref="D25"/>
    </sheetView>
  </sheetViews>
  <sheetFormatPr defaultRowHeight="14.4" x14ac:dyDescent="0.3"/>
  <cols>
    <col min="1" max="1" width="83.109375" customWidth="1"/>
    <col min="2" max="2" width="13.5546875" customWidth="1"/>
    <col min="3" max="3" width="12.44140625" customWidth="1"/>
    <col min="4" max="4" width="1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57.25</v>
      </c>
      <c r="C2">
        <v>3</v>
      </c>
      <c r="D2" t="s">
        <v>5</v>
      </c>
    </row>
    <row r="3" spans="1:4" x14ac:dyDescent="0.3">
      <c r="A3" t="s">
        <v>6</v>
      </c>
      <c r="B3">
        <v>54.23</v>
      </c>
      <c r="C3">
        <v>5</v>
      </c>
      <c r="D3" t="s">
        <v>5</v>
      </c>
    </row>
    <row r="4" spans="1:4" x14ac:dyDescent="0.3">
      <c r="A4" t="s">
        <v>7</v>
      </c>
      <c r="B4">
        <v>53.74</v>
      </c>
      <c r="C4">
        <v>1</v>
      </c>
      <c r="D4" t="s">
        <v>5</v>
      </c>
    </row>
    <row r="5" spans="1:4" x14ac:dyDescent="0.3">
      <c r="A5" t="s">
        <v>8</v>
      </c>
      <c r="B5">
        <v>52.29</v>
      </c>
      <c r="C5">
        <v>5</v>
      </c>
      <c r="D5" t="s">
        <v>5</v>
      </c>
    </row>
    <row r="6" spans="1:4" x14ac:dyDescent="0.3">
      <c r="A6" t="s">
        <v>9</v>
      </c>
      <c r="B6">
        <v>52.15</v>
      </c>
      <c r="C6">
        <v>1</v>
      </c>
      <c r="D6" t="s">
        <v>5</v>
      </c>
    </row>
    <row r="7" spans="1:4" x14ac:dyDescent="0.3">
      <c r="A7" t="s">
        <v>10</v>
      </c>
      <c r="B7">
        <v>51.77</v>
      </c>
      <c r="C7">
        <v>3</v>
      </c>
      <c r="D7" t="s">
        <v>5</v>
      </c>
    </row>
    <row r="8" spans="1:4" x14ac:dyDescent="0.3">
      <c r="A8" t="s">
        <v>11</v>
      </c>
      <c r="B8">
        <v>51.33</v>
      </c>
      <c r="C8">
        <v>2</v>
      </c>
      <c r="D8" t="s">
        <v>5</v>
      </c>
    </row>
    <row r="9" spans="1:4" x14ac:dyDescent="0.3">
      <c r="A9" t="s">
        <v>12</v>
      </c>
      <c r="B9">
        <v>50.1</v>
      </c>
      <c r="C9">
        <v>1</v>
      </c>
      <c r="D9" t="s">
        <v>5</v>
      </c>
    </row>
    <row r="10" spans="1:4" x14ac:dyDescent="0.3">
      <c r="A10" t="s">
        <v>13</v>
      </c>
      <c r="B10">
        <v>47.82</v>
      </c>
      <c r="C10">
        <v>4</v>
      </c>
      <c r="D10" t="s">
        <v>5</v>
      </c>
    </row>
    <row r="11" spans="1:4" x14ac:dyDescent="0.3">
      <c r="A11" t="s">
        <v>14</v>
      </c>
      <c r="B11">
        <v>45.17</v>
      </c>
      <c r="C11">
        <v>2</v>
      </c>
      <c r="D11" t="s">
        <v>5</v>
      </c>
    </row>
    <row r="12" spans="1:4" x14ac:dyDescent="0.3">
      <c r="A12" t="s">
        <v>15</v>
      </c>
      <c r="B12">
        <v>37.590000000000003</v>
      </c>
      <c r="C12">
        <v>1</v>
      </c>
      <c r="D12" t="s">
        <v>5</v>
      </c>
    </row>
    <row r="13" spans="1:4" x14ac:dyDescent="0.3">
      <c r="A13" t="s">
        <v>16</v>
      </c>
      <c r="B13">
        <v>35.020000000000003</v>
      </c>
      <c r="C13">
        <v>5</v>
      </c>
      <c r="D13" t="s">
        <v>5</v>
      </c>
    </row>
    <row r="14" spans="1:4" x14ac:dyDescent="0.3">
      <c r="A14" t="s">
        <v>17</v>
      </c>
      <c r="B14">
        <v>33.340000000000003</v>
      </c>
      <c r="C14">
        <v>4</v>
      </c>
      <c r="D14" t="s">
        <v>5</v>
      </c>
    </row>
    <row r="15" spans="1:4" x14ac:dyDescent="0.3">
      <c r="A15" t="s">
        <v>18</v>
      </c>
      <c r="B15">
        <v>23.88</v>
      </c>
      <c r="C15">
        <v>1</v>
      </c>
      <c r="D15" t="s">
        <v>5</v>
      </c>
    </row>
    <row r="16" spans="1:4" x14ac:dyDescent="0.3">
      <c r="A16" t="s">
        <v>19</v>
      </c>
      <c r="B16">
        <v>22.65</v>
      </c>
      <c r="C16">
        <v>1</v>
      </c>
      <c r="D16" t="s">
        <v>5</v>
      </c>
    </row>
    <row r="17" spans="1:4" x14ac:dyDescent="0.3">
      <c r="A17" t="s">
        <v>20</v>
      </c>
      <c r="B17">
        <v>22.6</v>
      </c>
      <c r="C17">
        <v>4</v>
      </c>
      <c r="D17" t="s">
        <v>5</v>
      </c>
    </row>
    <row r="18" spans="1:4" x14ac:dyDescent="0.3">
      <c r="A18" t="s">
        <v>21</v>
      </c>
      <c r="B18">
        <v>20.66</v>
      </c>
      <c r="C18">
        <v>4</v>
      </c>
      <c r="D18" t="s">
        <v>5</v>
      </c>
    </row>
    <row r="19" spans="1:4" x14ac:dyDescent="0.3">
      <c r="A19" t="s">
        <v>22</v>
      </c>
      <c r="B19">
        <v>17.93</v>
      </c>
      <c r="C19">
        <v>3</v>
      </c>
      <c r="D19" t="s">
        <v>5</v>
      </c>
    </row>
    <row r="20" spans="1:4" x14ac:dyDescent="0.3">
      <c r="A20" t="s">
        <v>23</v>
      </c>
      <c r="B20">
        <v>17.46</v>
      </c>
      <c r="C20">
        <v>5</v>
      </c>
      <c r="D20" t="s">
        <v>5</v>
      </c>
    </row>
    <row r="21" spans="1:4" x14ac:dyDescent="0.3">
      <c r="A21" t="s">
        <v>24</v>
      </c>
      <c r="B21">
        <v>13.99</v>
      </c>
      <c r="C21">
        <v>2</v>
      </c>
      <c r="D2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9433-FCD1-4CF6-8A0B-D86B1C19E844}">
  <dimension ref="A1:E25"/>
  <sheetViews>
    <sheetView tabSelected="1" topLeftCell="A4" workbookViewId="0">
      <selection activeCell="B23" sqref="B23"/>
    </sheetView>
  </sheetViews>
  <sheetFormatPr defaultRowHeight="14.4" x14ac:dyDescent="0.3"/>
  <cols>
    <col min="1" max="1" width="66.109375" customWidth="1"/>
    <col min="2" max="2" width="73.5546875" customWidth="1"/>
  </cols>
  <sheetData>
    <row r="1" spans="1:5" ht="45.6" customHeight="1" x14ac:dyDescent="0.3">
      <c r="A1" s="7" t="s">
        <v>53</v>
      </c>
      <c r="B1" s="6"/>
      <c r="C1" s="6"/>
    </row>
    <row r="2" spans="1:5" ht="16.2" customHeight="1" x14ac:dyDescent="0.3">
      <c r="A2" s="7"/>
      <c r="B2" s="6"/>
      <c r="C2" s="6"/>
    </row>
    <row r="3" spans="1:5" x14ac:dyDescent="0.3">
      <c r="A3" s="5" t="s">
        <v>52</v>
      </c>
      <c r="B3" s="5"/>
    </row>
    <row r="4" spans="1:5" x14ac:dyDescent="0.3">
      <c r="A4" s="4" t="s">
        <v>51</v>
      </c>
      <c r="B4" s="5"/>
    </row>
    <row r="5" spans="1:5" x14ac:dyDescent="0.3">
      <c r="A5" s="4" t="s">
        <v>50</v>
      </c>
      <c r="B5" s="4"/>
    </row>
    <row r="6" spans="1:5" x14ac:dyDescent="0.3">
      <c r="A6" t="s">
        <v>49</v>
      </c>
      <c r="B6" s="4"/>
    </row>
    <row r="7" spans="1:5" x14ac:dyDescent="0.3">
      <c r="A7" t="s">
        <v>48</v>
      </c>
      <c r="B7" s="4"/>
    </row>
    <row r="8" spans="1:5" x14ac:dyDescent="0.3">
      <c r="A8" t="s">
        <v>47</v>
      </c>
      <c r="B8" s="4"/>
    </row>
    <row r="9" spans="1:5" x14ac:dyDescent="0.3">
      <c r="A9" t="s">
        <v>46</v>
      </c>
      <c r="B9" s="4"/>
    </row>
    <row r="10" spans="1:5" x14ac:dyDescent="0.3">
      <c r="A10" t="s">
        <v>45</v>
      </c>
      <c r="B10" s="4"/>
    </row>
    <row r="11" spans="1:5" x14ac:dyDescent="0.3">
      <c r="A11" s="4"/>
      <c r="B11" s="4"/>
    </row>
    <row r="12" spans="1:5" x14ac:dyDescent="0.3">
      <c r="A12" s="3" t="s">
        <v>44</v>
      </c>
    </row>
    <row r="13" spans="1:5" x14ac:dyDescent="0.3">
      <c r="A13" t="s">
        <v>43</v>
      </c>
      <c r="B13">
        <f>AVERAGE([1]books_data!B2:B21)</f>
        <v>38.048499999999997</v>
      </c>
      <c r="D13" t="s">
        <v>2</v>
      </c>
      <c r="E13" t="s">
        <v>42</v>
      </c>
    </row>
    <row r="14" spans="1:5" x14ac:dyDescent="0.3">
      <c r="A14" t="s">
        <v>41</v>
      </c>
      <c r="B14">
        <f>MAX([1]books_data!B2:B21)</f>
        <v>57.25</v>
      </c>
      <c r="D14">
        <v>1</v>
      </c>
      <c r="E14">
        <f>COUNTIF([1]books_data!C2:C21,D14)</f>
        <v>6</v>
      </c>
    </row>
    <row r="15" spans="1:5" ht="16.2" customHeight="1" x14ac:dyDescent="0.3">
      <c r="A15" t="s">
        <v>40</v>
      </c>
      <c r="B15" t="s">
        <v>4</v>
      </c>
      <c r="D15">
        <v>2</v>
      </c>
      <c r="E15">
        <f>COUNTIF([1]books_data!C3:C22,D15)</f>
        <v>3</v>
      </c>
    </row>
    <row r="16" spans="1:5" x14ac:dyDescent="0.3">
      <c r="A16" t="s">
        <v>39</v>
      </c>
      <c r="B16">
        <f>MIN([1]books_data!B2:B21)</f>
        <v>13.99</v>
      </c>
      <c r="D16">
        <v>3</v>
      </c>
      <c r="E16">
        <f>COUNTIF([1]books_data!C4:C23,D16)</f>
        <v>2</v>
      </c>
    </row>
    <row r="17" spans="1:5" x14ac:dyDescent="0.3">
      <c r="A17" t="s">
        <v>38</v>
      </c>
      <c r="B17" t="s">
        <v>24</v>
      </c>
      <c r="D17">
        <v>4</v>
      </c>
      <c r="E17">
        <f>COUNTIF([1]books_data!C5:C24,D17)</f>
        <v>4</v>
      </c>
    </row>
    <row r="18" spans="1:5" x14ac:dyDescent="0.3">
      <c r="A18" t="s">
        <v>37</v>
      </c>
      <c r="B18">
        <f>AVERAGE([1]books_data!C2:C21)</f>
        <v>2.85</v>
      </c>
      <c r="D18">
        <v>5</v>
      </c>
      <c r="E18">
        <f>COUNTIF([1]books_data!C6:C25,D18)</f>
        <v>2</v>
      </c>
    </row>
    <row r="19" spans="1:5" x14ac:dyDescent="0.3">
      <c r="A19" t="s">
        <v>36</v>
      </c>
      <c r="B19" t="s">
        <v>35</v>
      </c>
    </row>
    <row r="20" spans="1:5" x14ac:dyDescent="0.3">
      <c r="A20" t="s">
        <v>34</v>
      </c>
      <c r="B20">
        <f>COUNTIF([1]books_data!D2:D21,"In stock")</f>
        <v>20</v>
      </c>
    </row>
    <row r="21" spans="1:5" x14ac:dyDescent="0.3">
      <c r="A21" t="s">
        <v>33</v>
      </c>
      <c r="B21" t="s">
        <v>32</v>
      </c>
    </row>
    <row r="22" spans="1:5" x14ac:dyDescent="0.3">
      <c r="A22" t="s">
        <v>31</v>
      </c>
      <c r="B22">
        <f>COUNTBLANK([1]books_data!A2:D21)</f>
        <v>0</v>
      </c>
    </row>
    <row r="23" spans="1:5" x14ac:dyDescent="0.3">
      <c r="A23" t="s">
        <v>30</v>
      </c>
      <c r="B23" t="s">
        <v>29</v>
      </c>
    </row>
    <row r="24" spans="1:5" x14ac:dyDescent="0.3">
      <c r="A24" t="s">
        <v>28</v>
      </c>
      <c r="B24" t="s">
        <v>27</v>
      </c>
    </row>
    <row r="25" spans="1:5" ht="48" customHeight="1" x14ac:dyDescent="0.3">
      <c r="A25" s="2" t="s">
        <v>26</v>
      </c>
      <c r="B2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books_data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pandey</dc:creator>
  <cp:lastModifiedBy>amit pandey</cp:lastModifiedBy>
  <dcterms:created xsi:type="dcterms:W3CDTF">2026-07-01T11:13:38Z</dcterms:created>
  <dcterms:modified xsi:type="dcterms:W3CDTF">2026-07-01T11:17:07Z</dcterms:modified>
</cp:coreProperties>
</file>
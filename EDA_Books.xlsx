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84c8e0f7995507a/ドキュメント/Dell/"/>
    </mc:Choice>
  </mc:AlternateContent>
  <xr:revisionPtr revIDLastSave="417" documentId="8_{B420CCA9-0DE2-4FDA-8973-8E8B9EDB0A5D}" xr6:coauthVersionLast="47" xr6:coauthVersionMax="47" xr10:uidLastSave="{92A2BAB2-97FB-4855-AEA3-02866F0D573E}"/>
  <bookViews>
    <workbookView xWindow="-108" yWindow="-108" windowWidth="23256" windowHeight="12456" activeTab="3" xr2:uid="{3A9260C1-242C-4070-87C0-9E0F4670E321}"/>
  </bookViews>
  <sheets>
    <sheet name="books_data" sheetId="2" r:id="rId1"/>
    <sheet name="Question" sheetId="4" r:id="rId2"/>
    <sheet name="EDA" sheetId="3" r:id="rId3"/>
    <sheet name="Hypothesis_Testing &amp; Finding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0" i="5" l="1"/>
  <c r="B69" i="5"/>
  <c r="B71" i="5"/>
  <c r="B70" i="5"/>
  <c r="B68" i="5"/>
  <c r="B67" i="5"/>
  <c r="B17" i="5"/>
  <c r="B16" i="5"/>
  <c r="B15" i="5"/>
  <c r="B14" i="5"/>
  <c r="B13" i="5"/>
  <c r="B33" i="3"/>
  <c r="B32" i="3"/>
  <c r="B31" i="3"/>
  <c r="B30" i="3"/>
  <c r="B29" i="3"/>
  <c r="B28" i="3"/>
  <c r="B27" i="3"/>
</calcChain>
</file>

<file path=xl/sharedStrings.xml><?xml version="1.0" encoding="utf-8"?>
<sst xmlns="http://schemas.openxmlformats.org/spreadsheetml/2006/main" count="187" uniqueCount="149">
  <si>
    <t>Title</t>
  </si>
  <si>
    <t>Price (£)</t>
  </si>
  <si>
    <t>Rating</t>
  </si>
  <si>
    <t>Availability</t>
  </si>
  <si>
    <t>Our Band Could Be Your Life: Scenes from the American Indie Underground, 1981-1991</t>
  </si>
  <si>
    <t>In stock</t>
  </si>
  <si>
    <t>Sapiens: A Brief History of Humankind</t>
  </si>
  <si>
    <t>Tipping the Velvet</t>
  </si>
  <si>
    <t>Scott Pilgrim's Precious Little Life (Scott Pilgrim #1)</t>
  </si>
  <si>
    <t>The Black Maria</t>
  </si>
  <si>
    <t>A Light in the Attic</t>
  </si>
  <si>
    <t>Libertarianism for Beginners</t>
  </si>
  <si>
    <t>Soumission</t>
  </si>
  <si>
    <t>Sharp Objects</t>
  </si>
  <si>
    <t>It's Only the Himalayas</t>
  </si>
  <si>
    <t>Mesaerion: The Best Science Fiction Stories 1800-1849</t>
  </si>
  <si>
    <t>Rip it Up and Start Again</t>
  </si>
  <si>
    <t>The Dirty Little Secrets of Getting Your Dream Job</t>
  </si>
  <si>
    <t>Olio</t>
  </si>
  <si>
    <t>The Requiem Red</t>
  </si>
  <si>
    <t>The Boys in the Boat: Nine Americans and Their Epic Quest for Gold at the 1936 Berlin Olympics</t>
  </si>
  <si>
    <t>Shakespeare's Sonnets</t>
  </si>
  <si>
    <t>The Coming Woman: A Novel Based on the Life of the Infamous Feminist, Victoria Woodhull</t>
  </si>
  <si>
    <t>Set Me Free</t>
  </si>
  <si>
    <t>Starving Hearts (Triangular Trade Trilogy, #1)</t>
  </si>
  <si>
    <t>Observation</t>
  </si>
  <si>
    <t>Missing Values</t>
  </si>
  <si>
    <t>Most Frequent Rating</t>
  </si>
  <si>
    <t>Average Rating</t>
  </si>
  <si>
    <t>Average Price</t>
  </si>
  <si>
    <t>Exploratory Data Analysis (EDA)</t>
  </si>
  <si>
    <t>S.No</t>
  </si>
  <si>
    <t>Question</t>
  </si>
  <si>
    <t>Purpose</t>
  </si>
  <si>
    <t>What is the average price of books?</t>
  </si>
  <si>
    <t>To understand the overall pricing of books.</t>
  </si>
  <si>
    <t>Which book is the most expensive?</t>
  </si>
  <si>
    <t>To identify the highest-priced book.</t>
  </si>
  <si>
    <t>Which book is the least expensive?</t>
  </si>
  <si>
    <t>To identify the lowest-priced book.</t>
  </si>
  <si>
    <t>What is the average rating of books?</t>
  </si>
  <si>
    <t>To measure the overall rating of books.</t>
  </si>
  <si>
    <t>Which rating appears most frequently?</t>
  </si>
  <si>
    <t>To identify the most common rating.</t>
  </si>
  <si>
    <t>Are all books available in stock?</t>
  </si>
  <si>
    <t>To check product availability.</t>
  </si>
  <si>
    <t>Are there any missing values in the dataset?</t>
  </si>
  <si>
    <t>To assess data quality.</t>
  </si>
  <si>
    <t>Do higher-rated books tend to have higher prices?</t>
  </si>
  <si>
    <t>To test the relationship between ratings and prices.</t>
  </si>
  <si>
    <t>Are there any unusual (outlier) book prices?</t>
  </si>
  <si>
    <t>To detect anomalies in pricing.</t>
  </si>
  <si>
    <t>Is the dataset suitable for further analysis?</t>
  </si>
  <si>
    <t>To evaluate the quality and completeness of the dataset.</t>
  </si>
  <si>
    <t>Exploratory Data Analysis (EDA) - Questions Before Analysis</t>
  </si>
  <si>
    <t>Variable</t>
  </si>
  <si>
    <t>Data Type</t>
  </si>
  <si>
    <t>Description</t>
  </si>
  <si>
    <t>Text</t>
  </si>
  <si>
    <t>Name of the book</t>
  </si>
  <si>
    <t>Price</t>
  </si>
  <si>
    <t>Numeric (Currency)</t>
  </si>
  <si>
    <t>Book price in pounds (£)</t>
  </si>
  <si>
    <t>Numeric (1–5)</t>
  </si>
  <si>
    <t>Customer rating</t>
  </si>
  <si>
    <t>Stock status</t>
  </si>
  <si>
    <t>Analysis</t>
  </si>
  <si>
    <t>Result</t>
  </si>
  <si>
    <t>Highest Price</t>
  </si>
  <si>
    <t>Lowest Price</t>
  </si>
  <si>
    <t>Total Books in Stock</t>
  </si>
  <si>
    <t>Explanation</t>
  </si>
  <si>
    <t>Price Trend</t>
  </si>
  <si>
    <t>Book prices range from the minimum to the maximum value, showing moderate variation.</t>
  </si>
  <si>
    <t>Rating Pattern</t>
  </si>
  <si>
    <t>Lower ratings occur more frequently than higher ratings in this dataset.</t>
  </si>
  <si>
    <t>Availability Pattern</t>
  </si>
  <si>
    <t>Every scraped book is marked as "In stock".</t>
  </si>
  <si>
    <t>Distribution Pattern</t>
  </si>
  <si>
    <t>Ratings are not evenly distributed across the books.</t>
  </si>
  <si>
    <t>Anomaly</t>
  </si>
  <si>
    <t>The highest-priced book stands out compared to many other books.</t>
  </si>
  <si>
    <t>The lowest-priced book is noticeably below the average price.</t>
  </si>
  <si>
    <t>No missing values detected.</t>
  </si>
  <si>
    <t>Duplicate Records</t>
  </si>
  <si>
    <t>No duplicate records observed.</t>
  </si>
  <si>
    <t>Hypothesis Testing &amp; Findings</t>
  </si>
  <si>
    <t>Average Price (£)</t>
  </si>
  <si>
    <t>Number of Books</t>
  </si>
  <si>
    <t>Statistical Method :</t>
  </si>
  <si>
    <t>Table :</t>
  </si>
  <si>
    <t>Conclusion :</t>
  </si>
  <si>
    <t>All books are available in stock.</t>
  </si>
  <si>
    <t>Total Books</t>
  </si>
  <si>
    <t>Books in Stock</t>
  </si>
  <si>
    <t>COUNTIF</t>
  </si>
  <si>
    <t>Potential Data Issue</t>
  </si>
  <si>
    <t>Status</t>
  </si>
  <si>
    <t>Impact on Further Analysis</t>
  </si>
  <si>
    <t>None</t>
  </si>
  <si>
    <t>Dataset is complete.</t>
  </si>
  <si>
    <t>No duplicate records found.</t>
  </si>
  <si>
    <t>Small Dataset</t>
  </si>
  <si>
    <t>Present</t>
  </si>
  <si>
    <t>Only 20 books; findings may not generalize.</t>
  </si>
  <si>
    <t>Single Source Dataset</t>
  </si>
  <si>
    <t>Data comes from one website only.</t>
  </si>
  <si>
    <t>Data Changes Over Time</t>
  </si>
  <si>
    <t>Website data may change, affecting future analyses.</t>
  </si>
  <si>
    <t>Interpretation</t>
  </si>
  <si>
    <t>Highest average price</t>
  </si>
  <si>
    <t>3-star books (£42.32)</t>
  </si>
  <si>
    <t>Lowest average price</t>
  </si>
  <si>
    <t>4-star books (£31.11)</t>
  </si>
  <si>
    <t>Relationship between price and rating</t>
  </si>
  <si>
    <t>No consistent relationship observed</t>
  </si>
  <si>
    <t>Hypothesis Result</t>
  </si>
  <si>
    <t>Rejected (Not Supported)</t>
  </si>
  <si>
    <t>Statistical Interpretation :</t>
  </si>
  <si>
    <t>Book Rating Distribution Table :</t>
  </si>
  <si>
    <t>🔷 Overall Findings :</t>
  </si>
  <si>
    <t>🔷 Potential Data Issues :</t>
  </si>
  <si>
    <t>🔷Hypothesis 2 :</t>
  </si>
  <si>
    <t>🔷Hypothesis 1 :</t>
  </si>
  <si>
    <t>• The dataset contains 20 books with no missing values or duplicate records.</t>
  </si>
  <si>
    <t>• Higher-rated books do not consistently have higher prices.</t>
  </si>
  <si>
    <t>• All books are currently in stock.</t>
  </si>
  <si>
    <t>• The dataset is suitable for exploratory data analysis, although its small size and single-source origin should be considered in future analyses.</t>
  </si>
  <si>
    <t>Books with higher ratings tend to have higher average prices.</t>
  </si>
  <si>
    <t>AVERAGEIF() function used to calculate the average price for each rating category.</t>
  </si>
  <si>
    <t>Property</t>
  </si>
  <si>
    <t>Value</t>
  </si>
  <si>
    <t>Dataset Name</t>
  </si>
  <si>
    <t>Books Dataset</t>
  </si>
  <si>
    <t>Number of Rows</t>
  </si>
  <si>
    <t>Number of Columns</t>
  </si>
  <si>
    <t>Source</t>
  </si>
  <si>
    <t>Books to Scrape</t>
  </si>
  <si>
    <t>File Format</t>
  </si>
  <si>
    <t>CSV</t>
  </si>
  <si>
    <t>1. Dataset Overview</t>
  </si>
  <si>
    <t>2. Variables &amp; Data Types</t>
  </si>
  <si>
    <t>3. Summary Statistics</t>
  </si>
  <si>
    <t>4. Trends &amp; Patterns</t>
  </si>
  <si>
    <t>5. Anomalies</t>
  </si>
  <si>
    <t>Therefore, Hypothesis 1 is not supported by this dataset.</t>
  </si>
  <si>
    <t>All 20 books are marked as "In stock", therefore the hypothesis 2 is supported.</t>
  </si>
  <si>
    <r>
      <t xml:space="preserve">• The average book price is </t>
    </r>
    <r>
      <rPr>
        <b/>
        <sz val="12"/>
        <color theme="1"/>
        <rFont val="Calibri"/>
        <family val="2"/>
        <scheme val="minor"/>
      </rPr>
      <t>£38.05</t>
    </r>
    <r>
      <rPr>
        <sz val="12"/>
        <color theme="1"/>
        <rFont val="Calibri"/>
        <family val="2"/>
        <scheme val="minor"/>
      </rPr>
      <t xml:space="preserve">, and the average rating is </t>
    </r>
    <r>
      <rPr>
        <b/>
        <sz val="12"/>
        <color theme="1"/>
        <rFont val="Calibri"/>
        <family val="2"/>
        <scheme val="minor"/>
      </rPr>
      <t>2.85 stars</t>
    </r>
    <r>
      <rPr>
        <sz val="12"/>
        <color theme="1"/>
        <rFont val="Calibri"/>
        <family val="2"/>
        <scheme val="minor"/>
      </rPr>
      <t>.</t>
    </r>
  </si>
  <si>
    <t>Book Rating Distribution Chart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</si>
</sst>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6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sz val="14"/>
      <color theme="2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E7E6E6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3A3838"/>
        <bgColor rgb="FF0000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vertical="center" wrapText="1"/>
    </xf>
    <xf numFmtId="0" fontId="3" fillId="0" borderId="0" xfId="0" applyFont="1"/>
    <xf numFmtId="0" fontId="13" fillId="7" borderId="0" xfId="0" applyFont="1" applyFill="1"/>
    <xf numFmtId="2" fontId="0" fillId="0" borderId="2" xfId="0" applyNumberFormat="1" applyBorder="1" applyAlignment="1">
      <alignment vertical="center" wrapText="1"/>
    </xf>
    <xf numFmtId="2" fontId="0" fillId="0" borderId="4" xfId="0" applyNumberFormat="1" applyBorder="1" applyAlignment="1">
      <alignment vertical="center" wrapText="1"/>
    </xf>
    <xf numFmtId="2" fontId="0" fillId="0" borderId="5" xfId="0" applyNumberFormat="1" applyBorder="1" applyAlignment="1">
      <alignment vertical="center" wrapText="1"/>
    </xf>
    <xf numFmtId="2" fontId="0" fillId="0" borderId="6" xfId="0" applyNumberFormat="1" applyBorder="1" applyAlignment="1">
      <alignment vertical="center" wrapText="1"/>
    </xf>
    <xf numFmtId="2" fontId="0" fillId="0" borderId="7" xfId="0" applyNumberFormat="1" applyBorder="1" applyAlignment="1">
      <alignment vertical="center" wrapText="1"/>
    </xf>
    <xf numFmtId="2" fontId="0" fillId="0" borderId="9" xfId="0" applyNumberFormat="1" applyBorder="1" applyAlignment="1">
      <alignment vertical="center" wrapText="1"/>
    </xf>
    <xf numFmtId="0" fontId="4" fillId="0" borderId="0" xfId="0" applyFont="1"/>
    <xf numFmtId="0" fontId="14" fillId="0" borderId="0" xfId="0" applyFont="1"/>
    <xf numFmtId="0" fontId="1" fillId="6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9" fillId="0" borderId="0" xfId="0" applyFont="1"/>
    <xf numFmtId="0" fontId="1" fillId="0" borderId="9" xfId="0" applyFont="1" applyBorder="1" applyAlignment="1">
      <alignment vertical="center" wrapText="1"/>
    </xf>
    <xf numFmtId="0" fontId="0" fillId="0" borderId="4" xfId="0" applyBorder="1" applyAlignment="1">
      <alignment horizontal="right" vertical="center" wrapText="1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13" fillId="7" borderId="0" xfId="0" applyFont="1" applyFill="1" applyAlignment="1">
      <alignment vertical="center" wrapText="1"/>
    </xf>
    <xf numFmtId="0" fontId="3" fillId="0" borderId="0" xfId="0" applyFont="1" applyAlignment="1">
      <alignment vertical="center"/>
    </xf>
    <xf numFmtId="0" fontId="17" fillId="0" borderId="1" xfId="0" applyFont="1" applyBorder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8" fillId="0" borderId="5" xfId="0" applyFont="1" applyBorder="1" applyAlignment="1">
      <alignment vertical="center" wrapText="1"/>
    </xf>
    <xf numFmtId="0" fontId="18" fillId="0" borderId="0" xfId="0" applyFont="1" applyAlignment="1">
      <alignment vertical="center" wrapText="1"/>
    </xf>
    <xf numFmtId="0" fontId="18" fillId="0" borderId="6" xfId="0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18" fillId="0" borderId="8" xfId="0" applyFont="1" applyBorder="1" applyAlignment="1">
      <alignment vertical="center" wrapText="1"/>
    </xf>
    <xf numFmtId="0" fontId="18" fillId="0" borderId="9" xfId="0" applyFont="1" applyBorder="1" applyAlignment="1">
      <alignment vertical="center" wrapText="1"/>
    </xf>
    <xf numFmtId="0" fontId="11" fillId="9" borderId="0" xfId="0" applyFont="1" applyFill="1"/>
    <xf numFmtId="0" fontId="0" fillId="9" borderId="0" xfId="0" applyFill="1"/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vertical="center" wrapText="1"/>
    </xf>
    <xf numFmtId="0" fontId="0" fillId="0" borderId="6" xfId="0" applyBorder="1" applyAlignment="1">
      <alignment horizontal="left" vertical="center" wrapText="1"/>
    </xf>
    <xf numFmtId="0" fontId="9" fillId="0" borderId="2" xfId="0" applyFont="1" applyBorder="1" applyAlignment="1">
      <alignment vertical="center" wrapText="1"/>
    </xf>
    <xf numFmtId="0" fontId="9" fillId="0" borderId="3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9" fillId="0" borderId="5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vertical="center" wrapText="1"/>
    </xf>
    <xf numFmtId="0" fontId="9" fillId="0" borderId="7" xfId="0" applyFont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0" fontId="9" fillId="0" borderId="9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19" fillId="10" borderId="0" xfId="0" applyFont="1" applyFill="1" applyAlignment="1">
      <alignment vertical="center" wrapText="1"/>
    </xf>
    <xf numFmtId="0" fontId="9" fillId="0" borderId="0" xfId="0" applyFont="1" applyAlignment="1">
      <alignment horizontal="left"/>
    </xf>
    <xf numFmtId="0" fontId="12" fillId="2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16" fillId="8" borderId="8" xfId="0" applyFont="1" applyFill="1" applyBorder="1" applyAlignment="1">
      <alignment horizontal="center"/>
    </xf>
    <xf numFmtId="0" fontId="15" fillId="4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Book Rating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'Hypothesis_Testing &amp; Findings'!$A$66</c:f>
              <c:strCache>
                <c:ptCount val="1"/>
                <c:pt idx="0">
                  <c:v>Rating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'Hypothesis_Testing &amp; Findings'!$A$67:$A$71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CB-44C4-A034-7ED1668CEE04}"/>
            </c:ext>
          </c:extLst>
        </c:ser>
        <c:ser>
          <c:idx val="1"/>
          <c:order val="1"/>
          <c:tx>
            <c:strRef>
              <c:f>'Hypothesis_Testing &amp; Findings'!$B$66</c:f>
              <c:strCache>
                <c:ptCount val="1"/>
                <c:pt idx="0">
                  <c:v>Number of Books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'Hypothesis_Testing &amp; Findings'!$B$67:$B$71</c:f>
              <c:numCache>
                <c:formatCode>General</c:formatCode>
                <c:ptCount val="5"/>
                <c:pt idx="0">
                  <c:v>6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CB-44C4-A034-7ED1668CEE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8690479"/>
        <c:axId val="2018640559"/>
      </c:barChart>
      <c:catAx>
        <c:axId val="20286904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640559"/>
        <c:crosses val="autoZero"/>
        <c:auto val="1"/>
        <c:lblAlgn val="ctr"/>
        <c:lblOffset val="100"/>
        <c:noMultiLvlLbl val="0"/>
      </c:catAx>
      <c:valAx>
        <c:axId val="201864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69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Average Price by 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'Hypothesis_Testing &amp; Findings'!$B$12</c:f>
              <c:strCache>
                <c:ptCount val="1"/>
                <c:pt idx="0">
                  <c:v>Average Price (£)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'Hypothesis_Testing &amp; Findings'!$B$13:$B$17</c:f>
              <c:numCache>
                <c:formatCode>0.00</c:formatCode>
                <c:ptCount val="5"/>
                <c:pt idx="0">
                  <c:v>40.018333333333338</c:v>
                </c:pt>
                <c:pt idx="1">
                  <c:v>36.83</c:v>
                </c:pt>
                <c:pt idx="2">
                  <c:v>42.31666666666667</c:v>
                </c:pt>
                <c:pt idx="3">
                  <c:v>31.104999999999997</c:v>
                </c:pt>
                <c:pt idx="4">
                  <c:v>39.75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46-4E44-85B0-97F89F0EC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3498079"/>
        <c:axId val="2018567599"/>
      </c:barChart>
      <c:catAx>
        <c:axId val="15434980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67599"/>
        <c:crosses val="autoZero"/>
        <c:auto val="1"/>
        <c:lblAlgn val="ctr"/>
        <c:lblOffset val="100"/>
        <c:noMultiLvlLbl val="0"/>
      </c:catAx>
      <c:valAx>
        <c:axId val="20185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498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73</xdr:row>
      <xdr:rowOff>3810</xdr:rowOff>
    </xdr:from>
    <xdr:to>
      <xdr:col>1</xdr:col>
      <xdr:colOff>1485900</xdr:colOff>
      <xdr:row>90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7D9B4A-DB75-883B-3F41-1D26E61867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15240</xdr:colOff>
      <xdr:row>18</xdr:row>
      <xdr:rowOff>156210</xdr:rowOff>
    </xdr:from>
    <xdr:to>
      <xdr:col>2</xdr:col>
      <xdr:colOff>403860</xdr:colOff>
      <xdr:row>33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22B45D-E597-EE85-EDF8-BA8091F58B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D7A094-F32A-427D-A998-2AFB4649034C}" name="Table1" displayName="Table1" ref="A1:D21" totalsRowShown="0">
  <autoFilter ref="A1:D21" xr:uid="{A2F68AC7-E846-473D-A849-8CF102B903B9}"/>
  <sortState xmlns:xlrd2="http://schemas.microsoft.com/office/spreadsheetml/2017/richdata2" ref="A2:D21">
    <sortCondition descending="1" ref="B2:B21"/>
  </sortState>
  <tableColumns count="4">
    <tableColumn id="1" xr3:uid="{8A4CE7B0-1F74-4CE3-A9AE-25A634010B19}" name="Title"/>
    <tableColumn id="2" xr3:uid="{B072660A-BB47-46CE-8CF7-566F719E8C2E}" name="Price (£)"/>
    <tableColumn id="3" xr3:uid="{C6AD6BD9-FD3C-4325-BB16-63A89EF4D5B7}" name="Rating"/>
    <tableColumn id="4" xr3:uid="{CBF68B50-93D7-48D9-856E-67B081421EAD}" name="Availabil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4DB6D-3FAA-4B2E-983A-246D01038BBC}">
  <dimension ref="A1:D21"/>
  <sheetViews>
    <sheetView workbookViewId="0">
      <selection activeCell="G19" sqref="G19"/>
    </sheetView>
  </sheetViews>
  <sheetFormatPr defaultRowHeight="14.4" x14ac:dyDescent="0.3"/>
  <cols>
    <col min="1" max="1" width="83.109375" customWidth="1"/>
    <col min="2" max="2" width="13.5546875" customWidth="1"/>
    <col min="3" max="3" width="12.44140625" customWidth="1"/>
    <col min="4" max="4" width="14.777343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>
        <v>57.25</v>
      </c>
      <c r="C2">
        <v>3</v>
      </c>
      <c r="D2" t="s">
        <v>5</v>
      </c>
    </row>
    <row r="3" spans="1:4" x14ac:dyDescent="0.3">
      <c r="A3" t="s">
        <v>6</v>
      </c>
      <c r="B3">
        <v>54.23</v>
      </c>
      <c r="C3">
        <v>5</v>
      </c>
      <c r="D3" t="s">
        <v>5</v>
      </c>
    </row>
    <row r="4" spans="1:4" x14ac:dyDescent="0.3">
      <c r="A4" t="s">
        <v>7</v>
      </c>
      <c r="B4">
        <v>53.74</v>
      </c>
      <c r="C4">
        <v>1</v>
      </c>
      <c r="D4" t="s">
        <v>5</v>
      </c>
    </row>
    <row r="5" spans="1:4" x14ac:dyDescent="0.3">
      <c r="A5" t="s">
        <v>8</v>
      </c>
      <c r="B5">
        <v>52.29</v>
      </c>
      <c r="C5">
        <v>5</v>
      </c>
      <c r="D5" t="s">
        <v>5</v>
      </c>
    </row>
    <row r="6" spans="1:4" x14ac:dyDescent="0.3">
      <c r="A6" t="s">
        <v>9</v>
      </c>
      <c r="B6">
        <v>52.15</v>
      </c>
      <c r="C6">
        <v>1</v>
      </c>
      <c r="D6" t="s">
        <v>5</v>
      </c>
    </row>
    <row r="7" spans="1:4" x14ac:dyDescent="0.3">
      <c r="A7" t="s">
        <v>10</v>
      </c>
      <c r="B7">
        <v>51.77</v>
      </c>
      <c r="C7">
        <v>3</v>
      </c>
      <c r="D7" t="s">
        <v>5</v>
      </c>
    </row>
    <row r="8" spans="1:4" x14ac:dyDescent="0.3">
      <c r="A8" t="s">
        <v>11</v>
      </c>
      <c r="B8">
        <v>51.33</v>
      </c>
      <c r="C8">
        <v>2</v>
      </c>
      <c r="D8" t="s">
        <v>5</v>
      </c>
    </row>
    <row r="9" spans="1:4" x14ac:dyDescent="0.3">
      <c r="A9" t="s">
        <v>12</v>
      </c>
      <c r="B9">
        <v>50.1</v>
      </c>
      <c r="C9">
        <v>1</v>
      </c>
      <c r="D9" t="s">
        <v>5</v>
      </c>
    </row>
    <row r="10" spans="1:4" x14ac:dyDescent="0.3">
      <c r="A10" t="s">
        <v>13</v>
      </c>
      <c r="B10">
        <v>47.82</v>
      </c>
      <c r="C10">
        <v>4</v>
      </c>
      <c r="D10" t="s">
        <v>5</v>
      </c>
    </row>
    <row r="11" spans="1:4" x14ac:dyDescent="0.3">
      <c r="A11" t="s">
        <v>14</v>
      </c>
      <c r="B11">
        <v>45.17</v>
      </c>
      <c r="C11">
        <v>2</v>
      </c>
      <c r="D11" t="s">
        <v>5</v>
      </c>
    </row>
    <row r="12" spans="1:4" x14ac:dyDescent="0.3">
      <c r="A12" t="s">
        <v>15</v>
      </c>
      <c r="B12">
        <v>37.590000000000003</v>
      </c>
      <c r="C12">
        <v>1</v>
      </c>
      <c r="D12" t="s">
        <v>5</v>
      </c>
    </row>
    <row r="13" spans="1:4" x14ac:dyDescent="0.3">
      <c r="A13" t="s">
        <v>16</v>
      </c>
      <c r="B13">
        <v>35.020000000000003</v>
      </c>
      <c r="C13">
        <v>5</v>
      </c>
      <c r="D13" t="s">
        <v>5</v>
      </c>
    </row>
    <row r="14" spans="1:4" x14ac:dyDescent="0.3">
      <c r="A14" t="s">
        <v>17</v>
      </c>
      <c r="B14">
        <v>33.340000000000003</v>
      </c>
      <c r="C14">
        <v>4</v>
      </c>
      <c r="D14" t="s">
        <v>5</v>
      </c>
    </row>
    <row r="15" spans="1:4" x14ac:dyDescent="0.3">
      <c r="A15" t="s">
        <v>18</v>
      </c>
      <c r="B15">
        <v>23.88</v>
      </c>
      <c r="C15">
        <v>1</v>
      </c>
      <c r="D15" t="s">
        <v>5</v>
      </c>
    </row>
    <row r="16" spans="1:4" x14ac:dyDescent="0.3">
      <c r="A16" t="s">
        <v>19</v>
      </c>
      <c r="B16">
        <v>22.65</v>
      </c>
      <c r="C16">
        <v>1</v>
      </c>
      <c r="D16" t="s">
        <v>5</v>
      </c>
    </row>
    <row r="17" spans="1:4" x14ac:dyDescent="0.3">
      <c r="A17" t="s">
        <v>20</v>
      </c>
      <c r="B17">
        <v>22.6</v>
      </c>
      <c r="C17">
        <v>4</v>
      </c>
      <c r="D17" t="s">
        <v>5</v>
      </c>
    </row>
    <row r="18" spans="1:4" x14ac:dyDescent="0.3">
      <c r="A18" t="s">
        <v>21</v>
      </c>
      <c r="B18">
        <v>20.66</v>
      </c>
      <c r="C18">
        <v>4</v>
      </c>
      <c r="D18" t="s">
        <v>5</v>
      </c>
    </row>
    <row r="19" spans="1:4" x14ac:dyDescent="0.3">
      <c r="A19" t="s">
        <v>22</v>
      </c>
      <c r="B19">
        <v>17.93</v>
      </c>
      <c r="C19">
        <v>3</v>
      </c>
      <c r="D19" t="s">
        <v>5</v>
      </c>
    </row>
    <row r="20" spans="1:4" x14ac:dyDescent="0.3">
      <c r="A20" t="s">
        <v>23</v>
      </c>
      <c r="B20">
        <v>17.46</v>
      </c>
      <c r="C20">
        <v>5</v>
      </c>
      <c r="D20" t="s">
        <v>5</v>
      </c>
    </row>
    <row r="21" spans="1:4" x14ac:dyDescent="0.3">
      <c r="A21" t="s">
        <v>24</v>
      </c>
      <c r="B21">
        <v>13.99</v>
      </c>
      <c r="C21">
        <v>2</v>
      </c>
      <c r="D2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34622-102C-4E5A-8AF4-C0BA91894748}">
  <dimension ref="A1:C15"/>
  <sheetViews>
    <sheetView workbookViewId="0">
      <selection activeCell="G19" sqref="G19"/>
    </sheetView>
  </sheetViews>
  <sheetFormatPr defaultRowHeight="14.4" x14ac:dyDescent="0.3"/>
  <cols>
    <col min="1" max="1" width="7.6640625" customWidth="1"/>
    <col min="2" max="2" width="49.77734375" customWidth="1"/>
    <col min="3" max="3" width="54.109375" customWidth="1"/>
  </cols>
  <sheetData>
    <row r="1" spans="1:3" ht="52.2" customHeight="1" x14ac:dyDescent="0.3">
      <c r="A1" s="69" t="s">
        <v>54</v>
      </c>
      <c r="B1" s="70"/>
      <c r="C1" s="71"/>
    </row>
    <row r="4" spans="1:3" ht="14.4" customHeight="1" x14ac:dyDescent="0.3"/>
    <row r="5" spans="1:3" ht="27" customHeight="1" x14ac:dyDescent="0.3">
      <c r="A5" s="59" t="s">
        <v>31</v>
      </c>
      <c r="B5" s="59" t="s">
        <v>32</v>
      </c>
      <c r="C5" s="59" t="s">
        <v>33</v>
      </c>
    </row>
    <row r="6" spans="1:3" ht="20.399999999999999" customHeight="1" x14ac:dyDescent="0.3">
      <c r="A6" s="50">
        <v>1</v>
      </c>
      <c r="B6" s="51" t="s">
        <v>34</v>
      </c>
      <c r="C6" s="52" t="s">
        <v>35</v>
      </c>
    </row>
    <row r="7" spans="1:3" ht="20.399999999999999" customHeight="1" x14ac:dyDescent="0.3">
      <c r="A7" s="53">
        <v>2</v>
      </c>
      <c r="B7" s="54" t="s">
        <v>36</v>
      </c>
      <c r="C7" s="55" t="s">
        <v>37</v>
      </c>
    </row>
    <row r="8" spans="1:3" ht="20.399999999999999" customHeight="1" x14ac:dyDescent="0.3">
      <c r="A8" s="53">
        <v>3</v>
      </c>
      <c r="B8" s="54" t="s">
        <v>38</v>
      </c>
      <c r="C8" s="55" t="s">
        <v>39</v>
      </c>
    </row>
    <row r="9" spans="1:3" ht="21" customHeight="1" x14ac:dyDescent="0.3">
      <c r="A9" s="53">
        <v>4</v>
      </c>
      <c r="B9" s="54" t="s">
        <v>40</v>
      </c>
      <c r="C9" s="55" t="s">
        <v>41</v>
      </c>
    </row>
    <row r="10" spans="1:3" ht="21" customHeight="1" x14ac:dyDescent="0.3">
      <c r="A10" s="53">
        <v>5</v>
      </c>
      <c r="B10" s="54" t="s">
        <v>42</v>
      </c>
      <c r="C10" s="55" t="s">
        <v>43</v>
      </c>
    </row>
    <row r="11" spans="1:3" ht="22.8" customHeight="1" x14ac:dyDescent="0.3">
      <c r="A11" s="53">
        <v>6</v>
      </c>
      <c r="B11" s="54" t="s">
        <v>44</v>
      </c>
      <c r="C11" s="55" t="s">
        <v>45</v>
      </c>
    </row>
    <row r="12" spans="1:3" ht="20.399999999999999" customHeight="1" x14ac:dyDescent="0.3">
      <c r="A12" s="53">
        <v>7</v>
      </c>
      <c r="B12" s="54" t="s">
        <v>46</v>
      </c>
      <c r="C12" s="55" t="s">
        <v>47</v>
      </c>
    </row>
    <row r="13" spans="1:3" ht="21" customHeight="1" x14ac:dyDescent="0.3">
      <c r="A13" s="53">
        <v>8</v>
      </c>
      <c r="B13" s="54" t="s">
        <v>48</v>
      </c>
      <c r="C13" s="55" t="s">
        <v>49</v>
      </c>
    </row>
    <row r="14" spans="1:3" ht="21" customHeight="1" x14ac:dyDescent="0.3">
      <c r="A14" s="53">
        <v>9</v>
      </c>
      <c r="B14" s="54" t="s">
        <v>50</v>
      </c>
      <c r="C14" s="55" t="s">
        <v>51</v>
      </c>
    </row>
    <row r="15" spans="1:3" ht="20.399999999999999" customHeight="1" x14ac:dyDescent="0.3">
      <c r="A15" s="56">
        <v>10</v>
      </c>
      <c r="B15" s="57" t="s">
        <v>52</v>
      </c>
      <c r="C15" s="58" t="s">
        <v>53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79433-FCD1-4CF6-8A0B-D86B1C19E844}">
  <dimension ref="A1:M139"/>
  <sheetViews>
    <sheetView workbookViewId="0">
      <selection activeCell="G19" sqref="G19"/>
    </sheetView>
  </sheetViews>
  <sheetFormatPr defaultRowHeight="14.4" x14ac:dyDescent="0.3"/>
  <cols>
    <col min="1" max="1" width="23.77734375" customWidth="1"/>
    <col min="2" max="2" width="52.109375" customWidth="1"/>
    <col min="3" max="3" width="27.21875" customWidth="1"/>
  </cols>
  <sheetData>
    <row r="1" spans="1:3" ht="45.6" customHeight="1" x14ac:dyDescent="0.3">
      <c r="A1" s="72" t="s">
        <v>30</v>
      </c>
      <c r="B1" s="72"/>
      <c r="C1" s="72"/>
    </row>
    <row r="2" spans="1:3" ht="16.2" customHeight="1" x14ac:dyDescent="0.3">
      <c r="A2" s="4"/>
      <c r="B2" s="3"/>
      <c r="C2" s="3"/>
    </row>
    <row r="3" spans="1:3" ht="16.2" customHeight="1" x14ac:dyDescent="0.3">
      <c r="A3" s="4"/>
      <c r="B3" s="3"/>
      <c r="C3" s="3"/>
    </row>
    <row r="4" spans="1:3" ht="16.2" customHeight="1" x14ac:dyDescent="0.35">
      <c r="A4" s="76" t="s">
        <v>140</v>
      </c>
      <c r="B4" s="76"/>
      <c r="C4" s="3"/>
    </row>
    <row r="5" spans="1:3" ht="16.2" customHeight="1" x14ac:dyDescent="0.3">
      <c r="A5" s="5" t="s">
        <v>130</v>
      </c>
      <c r="B5" s="5" t="s">
        <v>131</v>
      </c>
      <c r="C5" s="3"/>
    </row>
    <row r="6" spans="1:3" ht="16.2" customHeight="1" x14ac:dyDescent="0.3">
      <c r="A6" s="6" t="s">
        <v>132</v>
      </c>
      <c r="B6" s="8" t="s">
        <v>133</v>
      </c>
      <c r="C6" s="3"/>
    </row>
    <row r="7" spans="1:3" ht="16.2" customHeight="1" x14ac:dyDescent="0.3">
      <c r="A7" s="9" t="s">
        <v>134</v>
      </c>
      <c r="B7" s="49">
        <v>20</v>
      </c>
      <c r="C7" s="3"/>
    </row>
    <row r="8" spans="1:3" ht="16.2" customHeight="1" x14ac:dyDescent="0.3">
      <c r="A8" s="9" t="s">
        <v>135</v>
      </c>
      <c r="B8" s="49">
        <v>4</v>
      </c>
      <c r="C8" s="3"/>
    </row>
    <row r="9" spans="1:3" ht="16.2" customHeight="1" x14ac:dyDescent="0.3">
      <c r="A9" s="9" t="s">
        <v>136</v>
      </c>
      <c r="B9" s="10" t="s">
        <v>137</v>
      </c>
      <c r="C9" s="3"/>
    </row>
    <row r="10" spans="1:3" ht="16.2" customHeight="1" x14ac:dyDescent="0.3">
      <c r="A10" s="11" t="s">
        <v>138</v>
      </c>
      <c r="B10" s="13" t="s">
        <v>139</v>
      </c>
      <c r="C10" s="3"/>
    </row>
    <row r="11" spans="1:3" ht="16.2" customHeight="1" x14ac:dyDescent="0.3">
      <c r="A11" s="4"/>
      <c r="B11" s="3"/>
      <c r="C11" s="3"/>
    </row>
    <row r="12" spans="1:3" ht="16.2" customHeight="1" x14ac:dyDescent="0.3">
      <c r="A12" s="4"/>
      <c r="B12" s="3"/>
      <c r="C12" s="3"/>
    </row>
    <row r="13" spans="1:3" ht="16.2" customHeight="1" x14ac:dyDescent="0.3">
      <c r="A13" s="4"/>
      <c r="B13" s="3"/>
      <c r="C13" s="3"/>
    </row>
    <row r="14" spans="1:3" ht="16.2" customHeight="1" x14ac:dyDescent="0.35">
      <c r="A14" s="75" t="s">
        <v>141</v>
      </c>
      <c r="B14" s="75"/>
      <c r="C14" s="75"/>
    </row>
    <row r="15" spans="1:3" ht="16.2" customHeight="1" x14ac:dyDescent="0.3">
      <c r="A15" s="37" t="s">
        <v>55</v>
      </c>
      <c r="B15" s="38" t="s">
        <v>56</v>
      </c>
      <c r="C15" s="38" t="s">
        <v>57</v>
      </c>
    </row>
    <row r="16" spans="1:3" x14ac:dyDescent="0.3">
      <c r="A16" s="39" t="s">
        <v>0</v>
      </c>
      <c r="B16" s="40" t="s">
        <v>58</v>
      </c>
      <c r="C16" s="41" t="s">
        <v>59</v>
      </c>
    </row>
    <row r="17" spans="1:3" x14ac:dyDescent="0.3">
      <c r="A17" s="39" t="s">
        <v>60</v>
      </c>
      <c r="B17" s="40" t="s">
        <v>61</v>
      </c>
      <c r="C17" s="41" t="s">
        <v>62</v>
      </c>
    </row>
    <row r="18" spans="1:3" ht="14.4" customHeight="1" x14ac:dyDescent="0.3">
      <c r="A18" s="39" t="s">
        <v>2</v>
      </c>
      <c r="B18" s="40" t="s">
        <v>63</v>
      </c>
      <c r="C18" s="41" t="s">
        <v>64</v>
      </c>
    </row>
    <row r="19" spans="1:3" ht="14.4" customHeight="1" x14ac:dyDescent="0.3">
      <c r="A19" s="42" t="s">
        <v>3</v>
      </c>
      <c r="B19" s="43" t="s">
        <v>58</v>
      </c>
      <c r="C19" s="44" t="s">
        <v>65</v>
      </c>
    </row>
    <row r="20" spans="1:3" ht="14.4" customHeight="1" x14ac:dyDescent="0.3"/>
    <row r="21" spans="1:3" ht="14.4" customHeight="1" x14ac:dyDescent="0.3"/>
    <row r="22" spans="1:3" x14ac:dyDescent="0.3">
      <c r="B22" s="2"/>
    </row>
    <row r="23" spans="1:3" x14ac:dyDescent="0.3">
      <c r="A23" s="2"/>
      <c r="B23" s="2"/>
    </row>
    <row r="24" spans="1:3" x14ac:dyDescent="0.3">
      <c r="A24" s="1"/>
    </row>
    <row r="25" spans="1:3" ht="18" x14ac:dyDescent="0.35">
      <c r="A25" s="73" t="s">
        <v>142</v>
      </c>
      <c r="B25" s="74"/>
    </row>
    <row r="26" spans="1:3" ht="16.2" customHeight="1" x14ac:dyDescent="0.3">
      <c r="A26" s="5" t="s">
        <v>66</v>
      </c>
      <c r="B26" s="5" t="s">
        <v>67</v>
      </c>
    </row>
    <row r="27" spans="1:3" x14ac:dyDescent="0.3">
      <c r="A27" s="9" t="s">
        <v>29</v>
      </c>
      <c r="B27" s="17">
        <f>AVERAGE(books_data!B2:B21)</f>
        <v>38.048499999999997</v>
      </c>
    </row>
    <row r="28" spans="1:3" x14ac:dyDescent="0.3">
      <c r="A28" s="9" t="s">
        <v>68</v>
      </c>
      <c r="B28" s="17">
        <f>MAX(books_data!B2:B21)</f>
        <v>57.25</v>
      </c>
    </row>
    <row r="29" spans="1:3" x14ac:dyDescent="0.3">
      <c r="A29" s="9" t="s">
        <v>69</v>
      </c>
      <c r="B29" s="17">
        <f>MIN(books_data!B2:B21)</f>
        <v>13.99</v>
      </c>
    </row>
    <row r="30" spans="1:3" x14ac:dyDescent="0.3">
      <c r="A30" s="9" t="s">
        <v>28</v>
      </c>
      <c r="B30" s="17">
        <f>AVERAGE(books_data!C2:C21)</f>
        <v>2.85</v>
      </c>
    </row>
    <row r="31" spans="1:3" x14ac:dyDescent="0.3">
      <c r="A31" s="9" t="s">
        <v>27</v>
      </c>
      <c r="B31" s="17">
        <f>_xlfn.MODE.SNGL(books_data!C2:C21)</f>
        <v>1</v>
      </c>
    </row>
    <row r="32" spans="1:3" x14ac:dyDescent="0.3">
      <c r="A32" s="9" t="s">
        <v>70</v>
      </c>
      <c r="B32" s="17">
        <f>COUNTIF(books_data!D2:D21,"In stock")</f>
        <v>20</v>
      </c>
    </row>
    <row r="33" spans="1:2" x14ac:dyDescent="0.3">
      <c r="A33" s="11" t="s">
        <v>26</v>
      </c>
      <c r="B33" s="13">
        <f>COUNTBLANK(books_data!A2:D21)</f>
        <v>0</v>
      </c>
    </row>
    <row r="34" spans="1:2" x14ac:dyDescent="0.3">
      <c r="A34" s="2"/>
      <c r="B34" s="2"/>
    </row>
    <row r="35" spans="1:2" x14ac:dyDescent="0.3">
      <c r="A35" s="2"/>
      <c r="B35" s="2"/>
    </row>
    <row r="37" spans="1:2" ht="18" x14ac:dyDescent="0.35">
      <c r="A37" s="73" t="s">
        <v>143</v>
      </c>
      <c r="B37" s="73"/>
    </row>
    <row r="38" spans="1:2" ht="20.399999999999999" customHeight="1" x14ac:dyDescent="0.3">
      <c r="A38" s="15" t="s">
        <v>25</v>
      </c>
      <c r="B38" s="16" t="s">
        <v>71</v>
      </c>
    </row>
    <row r="39" spans="1:2" ht="30.6" customHeight="1" x14ac:dyDescent="0.3">
      <c r="A39" s="9" t="s">
        <v>72</v>
      </c>
      <c r="B39" s="10" t="s">
        <v>73</v>
      </c>
    </row>
    <row r="40" spans="1:2" ht="28.8" x14ac:dyDescent="0.3">
      <c r="A40" s="9" t="s">
        <v>74</v>
      </c>
      <c r="B40" s="10" t="s">
        <v>75</v>
      </c>
    </row>
    <row r="41" spans="1:2" x14ac:dyDescent="0.3">
      <c r="A41" s="9" t="s">
        <v>76</v>
      </c>
      <c r="B41" s="10" t="s">
        <v>77</v>
      </c>
    </row>
    <row r="42" spans="1:2" x14ac:dyDescent="0.3">
      <c r="A42" s="11" t="s">
        <v>78</v>
      </c>
      <c r="B42" s="13" t="s">
        <v>79</v>
      </c>
    </row>
    <row r="47" spans="1:2" ht="18" x14ac:dyDescent="0.35">
      <c r="A47" s="73" t="s">
        <v>144</v>
      </c>
      <c r="B47" s="73"/>
    </row>
    <row r="48" spans="1:2" x14ac:dyDescent="0.3">
      <c r="A48" s="15" t="s">
        <v>80</v>
      </c>
      <c r="B48" s="16" t="s">
        <v>25</v>
      </c>
    </row>
    <row r="49" spans="1:2" ht="28.8" x14ac:dyDescent="0.3">
      <c r="A49" s="9" t="s">
        <v>68</v>
      </c>
      <c r="B49" s="10" t="s">
        <v>81</v>
      </c>
    </row>
    <row r="50" spans="1:2" ht="28.8" x14ac:dyDescent="0.3">
      <c r="A50" s="9" t="s">
        <v>69</v>
      </c>
      <c r="B50" s="10" t="s">
        <v>82</v>
      </c>
    </row>
    <row r="51" spans="1:2" x14ac:dyDescent="0.3">
      <c r="A51" s="9" t="s">
        <v>26</v>
      </c>
      <c r="B51" s="10" t="s">
        <v>83</v>
      </c>
    </row>
    <row r="52" spans="1:2" x14ac:dyDescent="0.3">
      <c r="A52" s="11" t="s">
        <v>84</v>
      </c>
      <c r="B52" s="13" t="s">
        <v>85</v>
      </c>
    </row>
    <row r="131" spans="9:13" ht="18" x14ac:dyDescent="0.35">
      <c r="I131" s="46"/>
      <c r="J131" s="45"/>
      <c r="K131" s="45"/>
      <c r="L131" s="45"/>
      <c r="M131" s="46"/>
    </row>
    <row r="132" spans="9:13" x14ac:dyDescent="0.3">
      <c r="I132" s="46"/>
      <c r="J132" s="47"/>
      <c r="K132" s="47"/>
      <c r="L132" s="47"/>
      <c r="M132" s="46"/>
    </row>
    <row r="133" spans="9:13" x14ac:dyDescent="0.3">
      <c r="I133" s="46"/>
      <c r="J133" s="48"/>
      <c r="K133" s="48"/>
      <c r="L133" s="48"/>
      <c r="M133" s="46"/>
    </row>
    <row r="134" spans="9:13" x14ac:dyDescent="0.3">
      <c r="I134" s="46"/>
      <c r="J134" s="48"/>
      <c r="K134" s="48"/>
      <c r="L134" s="48"/>
      <c r="M134" s="46"/>
    </row>
    <row r="135" spans="9:13" x14ac:dyDescent="0.3">
      <c r="I135" s="46"/>
      <c r="J135" s="48"/>
      <c r="K135" s="48"/>
      <c r="L135" s="48"/>
      <c r="M135" s="46"/>
    </row>
    <row r="136" spans="9:13" x14ac:dyDescent="0.3">
      <c r="I136" s="46"/>
      <c r="J136" s="48"/>
      <c r="K136" s="48"/>
      <c r="L136" s="48"/>
      <c r="M136" s="46"/>
    </row>
    <row r="137" spans="9:13" x14ac:dyDescent="0.3">
      <c r="I137" s="46"/>
      <c r="J137" s="46"/>
      <c r="K137" s="46"/>
      <c r="L137" s="46"/>
      <c r="M137" s="46"/>
    </row>
    <row r="138" spans="9:13" x14ac:dyDescent="0.3">
      <c r="I138" s="46"/>
      <c r="J138" s="46"/>
      <c r="K138" s="46"/>
      <c r="L138" s="46"/>
      <c r="M138" s="46"/>
    </row>
    <row r="139" spans="9:13" x14ac:dyDescent="0.3">
      <c r="I139" s="46"/>
      <c r="J139" s="46"/>
      <c r="K139" s="46"/>
      <c r="L139" s="46"/>
      <c r="M139" s="46"/>
    </row>
  </sheetData>
  <mergeCells count="6">
    <mergeCell ref="A1:C1"/>
    <mergeCell ref="A25:B25"/>
    <mergeCell ref="A47:B47"/>
    <mergeCell ref="A37:B37"/>
    <mergeCell ref="A14:C14"/>
    <mergeCell ref="A4:B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49E44-F15E-48FF-ADA9-C0B9E0597CA1}">
  <dimension ref="A1:C110"/>
  <sheetViews>
    <sheetView tabSelected="1" workbookViewId="0">
      <selection activeCell="G19" sqref="G19"/>
    </sheetView>
  </sheetViews>
  <sheetFormatPr defaultRowHeight="14.4" x14ac:dyDescent="0.3"/>
  <cols>
    <col min="1" max="1" width="46.5546875" customWidth="1"/>
    <col min="2" max="2" width="38.5546875" customWidth="1"/>
    <col min="3" max="3" width="30.109375" customWidth="1"/>
  </cols>
  <sheetData>
    <row r="1" spans="1:3" ht="43.8" customHeight="1" x14ac:dyDescent="0.3">
      <c r="A1" s="66" t="s">
        <v>86</v>
      </c>
      <c r="B1" s="66"/>
      <c r="C1" s="66"/>
    </row>
    <row r="5" spans="1:3" ht="18" x14ac:dyDescent="0.35">
      <c r="A5" s="67" t="s">
        <v>123</v>
      </c>
      <c r="B5" s="67"/>
    </row>
    <row r="6" spans="1:3" ht="34.799999999999997" customHeight="1" x14ac:dyDescent="0.3">
      <c r="A6" s="29" t="s">
        <v>128</v>
      </c>
    </row>
    <row r="8" spans="1:3" ht="15.6" x14ac:dyDescent="0.3">
      <c r="A8" s="18" t="s">
        <v>89</v>
      </c>
    </row>
    <row r="9" spans="1:3" ht="36" customHeight="1" x14ac:dyDescent="0.3">
      <c r="A9" s="29" t="s">
        <v>129</v>
      </c>
    </row>
    <row r="11" spans="1:3" ht="15.6" x14ac:dyDescent="0.3">
      <c r="A11" s="19" t="s">
        <v>90</v>
      </c>
    </row>
    <row r="12" spans="1:3" ht="15.6" x14ac:dyDescent="0.3">
      <c r="A12" s="60" t="s">
        <v>2</v>
      </c>
      <c r="B12" s="60" t="s">
        <v>87</v>
      </c>
    </row>
    <row r="13" spans="1:3" x14ac:dyDescent="0.3">
      <c r="A13" s="20">
        <v>1</v>
      </c>
      <c r="B13" s="21">
        <f>AVERAGEIF(books_data!C2:C21,1,books_data!B2:B21)</f>
        <v>40.018333333333338</v>
      </c>
    </row>
    <row r="14" spans="1:3" x14ac:dyDescent="0.3">
      <c r="A14" s="22">
        <v>2</v>
      </c>
      <c r="B14" s="23">
        <f>AVERAGEIF(books_data!C2:C21,2,books_data!B2:B21)</f>
        <v>36.83</v>
      </c>
    </row>
    <row r="15" spans="1:3" x14ac:dyDescent="0.3">
      <c r="A15" s="22">
        <v>3</v>
      </c>
      <c r="B15" s="23">
        <f>AVERAGEIF(books_data!C2:C21,3,books_data!B2:B21)</f>
        <v>42.31666666666667</v>
      </c>
    </row>
    <row r="16" spans="1:3" x14ac:dyDescent="0.3">
      <c r="A16" s="22">
        <v>4</v>
      </c>
      <c r="B16" s="23">
        <f>AVERAGEIF(books_data!C2:C21,4,books_data!B2:B21)</f>
        <v>31.104999999999997</v>
      </c>
    </row>
    <row r="17" spans="1:2" x14ac:dyDescent="0.3">
      <c r="A17" s="24">
        <v>5</v>
      </c>
      <c r="B17" s="25">
        <f>AVERAGEIF(books_data!C2:C21,5,books_data!B2:B21)</f>
        <v>39.75</v>
      </c>
    </row>
    <row r="37" spans="1:2" ht="18" x14ac:dyDescent="0.35">
      <c r="A37" s="26" t="s">
        <v>91</v>
      </c>
    </row>
    <row r="38" spans="1:2" ht="36" customHeight="1" x14ac:dyDescent="0.3">
      <c r="A38" s="29" t="s">
        <v>145</v>
      </c>
    </row>
    <row r="42" spans="1:2" ht="18" x14ac:dyDescent="0.35">
      <c r="A42" s="67" t="s">
        <v>122</v>
      </c>
      <c r="B42" s="67"/>
    </row>
    <row r="43" spans="1:2" ht="15.6" x14ac:dyDescent="0.3">
      <c r="A43" s="30" t="s">
        <v>92</v>
      </c>
    </row>
    <row r="45" spans="1:2" ht="15.6" x14ac:dyDescent="0.3">
      <c r="A45" s="27" t="s">
        <v>89</v>
      </c>
    </row>
    <row r="46" spans="1:2" x14ac:dyDescent="0.3">
      <c r="A46" s="2" t="s">
        <v>95</v>
      </c>
    </row>
    <row r="47" spans="1:2" x14ac:dyDescent="0.3">
      <c r="A47" s="2"/>
    </row>
    <row r="48" spans="1:2" ht="15.6" x14ac:dyDescent="0.3">
      <c r="A48" s="19" t="s">
        <v>90</v>
      </c>
    </row>
    <row r="49" spans="1:3" x14ac:dyDescent="0.3">
      <c r="A49" s="28" t="s">
        <v>93</v>
      </c>
      <c r="B49" s="28" t="s">
        <v>94</v>
      </c>
    </row>
    <row r="50" spans="1:3" x14ac:dyDescent="0.3">
      <c r="A50" s="14">
        <v>20</v>
      </c>
      <c r="B50" s="14">
        <f>COUNTIF(books_data!D2:D21,"In stock")</f>
        <v>20</v>
      </c>
    </row>
    <row r="53" spans="1:3" ht="18" x14ac:dyDescent="0.35">
      <c r="A53" s="26" t="s">
        <v>91</v>
      </c>
    </row>
    <row r="54" spans="1:3" ht="42.6" customHeight="1" x14ac:dyDescent="0.3">
      <c r="A54" s="29" t="s">
        <v>146</v>
      </c>
    </row>
    <row r="57" spans="1:3" ht="29.4" customHeight="1" x14ac:dyDescent="0.3">
      <c r="A57" s="68" t="s">
        <v>121</v>
      </c>
      <c r="B57" s="68"/>
      <c r="C57" s="68"/>
    </row>
    <row r="58" spans="1:3" ht="24.6" customHeight="1" x14ac:dyDescent="0.3">
      <c r="A58" s="5" t="s">
        <v>96</v>
      </c>
      <c r="B58" s="5" t="s">
        <v>97</v>
      </c>
      <c r="C58" s="5" t="s">
        <v>98</v>
      </c>
    </row>
    <row r="59" spans="1:3" x14ac:dyDescent="0.3">
      <c r="A59" s="6" t="s">
        <v>26</v>
      </c>
      <c r="B59" s="7" t="s">
        <v>99</v>
      </c>
      <c r="C59" s="8" t="s">
        <v>100</v>
      </c>
    </row>
    <row r="60" spans="1:3" x14ac:dyDescent="0.3">
      <c r="A60" s="9" t="s">
        <v>84</v>
      </c>
      <c r="B60" s="2" t="s">
        <v>99</v>
      </c>
      <c r="C60" s="10" t="s">
        <v>101</v>
      </c>
    </row>
    <row r="61" spans="1:3" ht="28.8" x14ac:dyDescent="0.3">
      <c r="A61" s="9" t="s">
        <v>102</v>
      </c>
      <c r="B61" s="2" t="s">
        <v>103</v>
      </c>
      <c r="C61" s="10" t="s">
        <v>104</v>
      </c>
    </row>
    <row r="62" spans="1:3" ht="28.8" x14ac:dyDescent="0.3">
      <c r="A62" s="9" t="s">
        <v>105</v>
      </c>
      <c r="B62" s="2" t="s">
        <v>103</v>
      </c>
      <c r="C62" s="10" t="s">
        <v>106</v>
      </c>
    </row>
    <row r="63" spans="1:3" ht="28.8" x14ac:dyDescent="0.3">
      <c r="A63" s="11" t="s">
        <v>107</v>
      </c>
      <c r="B63" s="12" t="s">
        <v>103</v>
      </c>
      <c r="C63" s="13" t="s">
        <v>108</v>
      </c>
    </row>
    <row r="65" spans="1:2" ht="15.6" x14ac:dyDescent="0.3">
      <c r="A65" s="35" t="s">
        <v>119</v>
      </c>
    </row>
    <row r="66" spans="1:2" ht="15.6" x14ac:dyDescent="0.3">
      <c r="A66" s="61" t="s">
        <v>2</v>
      </c>
      <c r="B66" s="62" t="s">
        <v>88</v>
      </c>
    </row>
    <row r="67" spans="1:2" x14ac:dyDescent="0.3">
      <c r="A67" s="6">
        <v>1</v>
      </c>
      <c r="B67" s="32">
        <f>COUNTIF(books_data!C2:C21,1)</f>
        <v>6</v>
      </c>
    </row>
    <row r="68" spans="1:2" x14ac:dyDescent="0.3">
      <c r="A68" s="9">
        <v>2</v>
      </c>
      <c r="B68" s="33">
        <f>COUNTIF(books_data!C2:C21,2)</f>
        <v>3</v>
      </c>
    </row>
    <row r="69" spans="1:2" x14ac:dyDescent="0.3">
      <c r="A69" s="9">
        <v>3</v>
      </c>
      <c r="B69" s="33">
        <f>COUNTIF(books_data!C2:C21,3)</f>
        <v>3</v>
      </c>
    </row>
    <row r="70" spans="1:2" x14ac:dyDescent="0.3">
      <c r="A70" s="9">
        <v>4</v>
      </c>
      <c r="B70" s="33">
        <f>COUNTIF(books_data!C2:C21,4)</f>
        <v>4</v>
      </c>
    </row>
    <row r="71" spans="1:2" x14ac:dyDescent="0.3">
      <c r="A71" s="11">
        <v>5</v>
      </c>
      <c r="B71" s="34">
        <f>COUNTIF(books_data!C2:C21,5)</f>
        <v>4</v>
      </c>
    </row>
    <row r="72" spans="1:2" x14ac:dyDescent="0.3">
      <c r="A72" s="2"/>
      <c r="B72" s="63"/>
    </row>
    <row r="73" spans="1:2" ht="15.6" x14ac:dyDescent="0.3">
      <c r="A73" s="64" t="s">
        <v>148</v>
      </c>
    </row>
    <row r="95" spans="1:1" ht="23.4" customHeight="1" x14ac:dyDescent="0.3">
      <c r="A95" s="36" t="s">
        <v>118</v>
      </c>
    </row>
    <row r="97" spans="1:3" x14ac:dyDescent="0.3">
      <c r="A97" s="5" t="s">
        <v>25</v>
      </c>
      <c r="B97" s="5" t="s">
        <v>109</v>
      </c>
    </row>
    <row r="98" spans="1:3" x14ac:dyDescent="0.3">
      <c r="A98" s="6" t="s">
        <v>110</v>
      </c>
      <c r="B98" s="8" t="s">
        <v>111</v>
      </c>
    </row>
    <row r="99" spans="1:3" x14ac:dyDescent="0.3">
      <c r="A99" s="9" t="s">
        <v>112</v>
      </c>
      <c r="B99" s="10" t="s">
        <v>113</v>
      </c>
    </row>
    <row r="100" spans="1:3" x14ac:dyDescent="0.3">
      <c r="A100" s="9" t="s">
        <v>114</v>
      </c>
      <c r="B100" s="10" t="s">
        <v>115</v>
      </c>
    </row>
    <row r="101" spans="1:3" x14ac:dyDescent="0.3">
      <c r="A101" s="11" t="s">
        <v>116</v>
      </c>
      <c r="B101" s="31" t="s">
        <v>117</v>
      </c>
    </row>
    <row r="105" spans="1:3" ht="18" x14ac:dyDescent="0.35">
      <c r="A105" s="67" t="s">
        <v>120</v>
      </c>
      <c r="B105" s="67"/>
      <c r="C105" s="67"/>
    </row>
    <row r="106" spans="1:3" ht="15.6" x14ac:dyDescent="0.3">
      <c r="A106" s="65" t="s">
        <v>124</v>
      </c>
      <c r="B106" s="65"/>
      <c r="C106" s="65"/>
    </row>
    <row r="107" spans="1:3" ht="15.6" x14ac:dyDescent="0.3">
      <c r="A107" s="65" t="s">
        <v>147</v>
      </c>
      <c r="B107" s="65"/>
      <c r="C107" s="65"/>
    </row>
    <row r="108" spans="1:3" ht="15.6" x14ac:dyDescent="0.3">
      <c r="A108" s="65" t="s">
        <v>125</v>
      </c>
      <c r="B108" s="65"/>
      <c r="C108" s="65"/>
    </row>
    <row r="109" spans="1:3" ht="15.6" x14ac:dyDescent="0.3">
      <c r="A109" s="65" t="s">
        <v>126</v>
      </c>
      <c r="B109" s="65"/>
      <c r="C109" s="65"/>
    </row>
    <row r="110" spans="1:3" ht="15.6" x14ac:dyDescent="0.3">
      <c r="A110" s="65" t="s">
        <v>127</v>
      </c>
      <c r="B110" s="65"/>
      <c r="C110" s="65"/>
    </row>
  </sheetData>
  <mergeCells count="10">
    <mergeCell ref="A110:C110"/>
    <mergeCell ref="A1:C1"/>
    <mergeCell ref="A5:B5"/>
    <mergeCell ref="A42:B42"/>
    <mergeCell ref="A57:C57"/>
    <mergeCell ref="A106:C106"/>
    <mergeCell ref="A105:C105"/>
    <mergeCell ref="A107:C107"/>
    <mergeCell ref="A108:C108"/>
    <mergeCell ref="A109:C10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books_data</vt:lpstr>
      <vt:lpstr>Question</vt:lpstr>
      <vt:lpstr>EDA</vt:lpstr>
      <vt:lpstr>Hypothesis_Testing &amp; 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pandey</dc:creator>
  <cp:lastModifiedBy>amit pandey</cp:lastModifiedBy>
  <dcterms:created xsi:type="dcterms:W3CDTF">2026-07-01T11:13:38Z</dcterms:created>
  <dcterms:modified xsi:type="dcterms:W3CDTF">2026-07-04T08:40:00Z</dcterms:modified>
</cp:coreProperties>
</file>